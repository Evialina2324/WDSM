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6855"/>
  </bookViews>
  <sheets>
    <sheet name="Arkusz1" sheetId="1" r:id="rId1"/>
    <sheet name="Arkusz2" sheetId="2" r:id="rId2"/>
    <sheet name="Arkusz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<sst xmlns="http://schemas.openxmlformats.org/spreadsheetml/2006/main" count="20" uniqueCount="20">
  <si>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Nr studenta</t>
  </si>
  <si>
    <t>czas przybycia</t>
  </si>
  <si>
    <t>moment przybyciz w sekundach</t>
  </si>
  <si>
    <t>moment przybycia w miinutach</t>
  </si>
  <si>
    <t>start obslugi</t>
  </si>
  <si>
    <t>koniec obslugi</t>
  </si>
  <si>
    <t>koniec obslugi w minutach</t>
  </si>
  <si>
    <t>czas obsługi</t>
  </si>
  <si>
    <t>liczba stanowisk obsługi r</t>
  </si>
  <si>
    <t>czas 
(w min.)</t>
  </si>
  <si>
    <t>ile osob przyszlo do tej minuty</t>
  </si>
  <si>
    <t>ile osob obsluzono do tej minuty</t>
  </si>
  <si>
    <t>l</t>
  </si>
  <si>
    <t>m</t>
  </si>
  <si>
    <t>r</t>
  </si>
  <si>
    <t>P(n=0)</t>
  </si>
  <si>
    <t>Q</t>
  </si>
  <si>
    <t>W</t>
  </si>
  <si>
    <t>Wniosek:</t>
  </si>
  <si>
    <t>Na podstawie przeprowadzonych obliczeń narastających w kolejnych minutach pomiaru wyznaczono wartości: przeciętnej stopy przybyć λ(t), przeciętnej stopy obsługi μ(t), parametru intensywności ruchu ρ(t), średniej liczby osób oczekujących w kolejce Q(t) oraz średniego czasu oczekiwania W(t).
Z przeprowadzonych obliczeń i analizy wykresów wynika, że w początkowych minutach obserwacji system był chwilowo przeciążony (ρ &gt; 1), co spowodowało powstanie kolejki. W kolejnych minutach wartości λ(t) oraz μ(t) zaczęły się stabilizować, a parametr intensywności ruchu ρ(t) przyjmował wartości w pobliżu 1, a następnie poniżej 1, co oznacza, że system osiągnął stan stabilnej pracy.
Średnia liczba oczekujących Q(t) przyjmuje niewielkie wartości, a w końcowej fazie obserwacji spada do zera, co świadczy o braku trwałego narastania kolejki. Średni czas oczekiwania W(t) jest niewielki i w większości minut równy 0 lub bliski zeru, co potwierdza, że system skutecznie obsługuje napływających klientów.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</si>
</sst>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\ _z_ł_-;\-* #,##0.00\ _z_ł_-;_-* &quot;-&quot;??\ _z_ł_-;_-@_-"/>
    <numFmt numFmtId="177" formatCode="_-* #,##0.00\ &quot;zł&quot;_-;\-* #,##0.00\ &quot;zł&quot;_-;_-* &quot;-&quot;??\ &quot;zł&quot;_-;_-@_-"/>
    <numFmt numFmtId="178" formatCode="_-* #,##0\ _z_ł_-;\-* #,##0\ _z_ł_-;_-* &quot;-&quot;\ _z_ł_-;_-@_-"/>
    <numFmt numFmtId="179" formatCode="_-* #,##0\ &quot;zł&quot;_-;\-* #,##0\ &quot;zł&quot;_-;_-* &quot;-&quot;\ &quot;zł&quot;_-;_-@_-"/>
  </numFmts>
  <fonts count="22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1"/>
      <charset val="2"/>
    </font>
    <font>
      <sz val="11"/>
      <color theme="1"/>
      <name val="Symbol"/>
      <family val="1"/>
      <charset val="2"/>
    </font>
    <font>
      <u/>
      <sz val="11"/>
      <color rgb="FF0000FF"/>
      <name val="Calibri"/>
      <family val="2"/>
      <charset val="204"/>
      <scheme val="minor"/>
    </font>
    <font>
      <u/>
      <sz val="11"/>
      <color rgb="FF800080"/>
      <name val="Calibri"/>
      <family val="2"/>
      <charset val="204"/>
      <scheme val="minor"/>
    </font>
    <font>
      <sz val="11"/>
      <color rgb="FFFF0000"/>
      <name val="Czcionka tekstu podstawowego"/>
      <family val="2"/>
      <charset val="204"/>
    </font>
    <font>
      <b/>
      <sz val="18"/>
      <color theme="3"/>
      <name val="Cambria"/>
      <family val="1"/>
      <charset val="204"/>
      <scheme val="major"/>
    </font>
    <font>
      <i/>
      <sz val="11"/>
      <color rgb="FF7F7F7F"/>
      <name val="Czcionka tekstu podstawowego"/>
      <family val="2"/>
      <charset val="204"/>
    </font>
    <font>
      <b/>
      <sz val="15"/>
      <color theme="3"/>
      <name val="Czcionka tekstu podstawowego"/>
      <family val="2"/>
      <charset val="204"/>
    </font>
    <font>
      <b/>
      <sz val="13"/>
      <color theme="3"/>
      <name val="Czcionka tekstu podstawowego"/>
      <family val="2"/>
      <charset val="204"/>
    </font>
    <font>
      <b/>
      <sz val="11"/>
      <color theme="3"/>
      <name val="Czcionka tekstu podstawowego"/>
      <family val="2"/>
      <charset val="204"/>
    </font>
    <font>
      <sz val="11"/>
      <color rgb="FF3F3F76"/>
      <name val="Czcionka tekstu podstawowego"/>
      <family val="2"/>
      <charset val="204"/>
    </font>
    <font>
      <b/>
      <sz val="11"/>
      <color rgb="FF3F3F3F"/>
      <name val="Czcionka tekstu podstawowego"/>
      <family val="2"/>
      <charset val="204"/>
    </font>
    <font>
      <b/>
      <sz val="11"/>
      <color rgb="FFFA7D00"/>
      <name val="Czcionka tekstu podstawowego"/>
      <family val="2"/>
      <charset val="204"/>
    </font>
    <font>
      <b/>
      <sz val="11"/>
      <color theme="0"/>
      <name val="Czcionka tekstu podstawowego"/>
      <family val="2"/>
      <charset val="204"/>
    </font>
    <font>
      <sz val="11"/>
      <color rgb="FFFA7D00"/>
      <name val="Czcionka tekstu podstawowego"/>
      <family val="2"/>
      <charset val="204"/>
    </font>
    <font>
      <b/>
      <sz val="11"/>
      <color theme="1"/>
      <name val="Czcionka tekstu podstawowego"/>
      <family val="2"/>
      <charset val="204"/>
    </font>
    <font>
      <sz val="11"/>
      <color rgb="FF006100"/>
      <name val="Czcionka tekstu podstawowego"/>
      <family val="2"/>
      <charset val="204"/>
    </font>
    <font>
      <sz val="11"/>
      <color rgb="FF9C0006"/>
      <name val="Czcionka tekstu podstawowego"/>
      <family val="2"/>
      <charset val="204"/>
    </font>
    <font>
      <sz val="11"/>
      <color rgb="FF9C6500"/>
      <name val="Czcionka tekstu podstawowego"/>
      <family val="2"/>
      <charset val="204"/>
    </font>
    <font>
      <sz val="11"/>
      <color theme="0"/>
      <name val="Czcionka tekstu podstawowego"/>
      <family val="2"/>
      <charset val="204"/>
    </font>
    <font>
      <sz val="11"/>
      <color theme="1"/>
      <name val="Czcionka tekstu podstawowego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5" applyNumberFormat="0" applyAlignment="0" applyProtection="0"/>
    <xf numFmtId="0" fontId="12" fillId="4" borderId="6" applyNumberFormat="0" applyAlignment="0" applyProtection="0"/>
    <xf numFmtId="0" fontId="13" fillId="4" borderId="5" applyNumberFormat="0" applyAlignment="0" applyProtection="0"/>
    <xf numFmtId="0" fontId="14" fillId="5" borderId="7" applyNumberFormat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6" borderId="0" applyNumberFormat="0" applyBorder="0" applyAlignment="0" applyProtection="0"/>
    <xf numFmtId="0" fontId="18" fillId="7" borderId="0" applyNumberFormat="0" applyBorder="0" applyAlignment="0" applyProtection="0"/>
    <xf numFmtId="0" fontId="19" fillId="8" borderId="0" applyNumberFormat="0" applyBorder="0" applyAlignment="0" applyProtection="0"/>
    <xf numFmtId="0" fontId="20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20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Zmiany λ i μ w czasi</a:t>
            </a:r>
            <a:r>
              <a:rPr lang="en-US" altLang="ru-RU"/>
              <a:t>e</a:t>
            </a:r>
            <a:endParaRPr lang="en-US" altLang="ru-RU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Arkusz1!$J$1</c:f>
              <c:strCache>
                <c:ptCount val="1"/>
                <c:pt idx="0">
                  <c:v>czas 
(w min.)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Arkusz1!$J$2:$J$37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Arkusz1!$M$1</c:f>
              <c:strCache>
                <c:ptCount val="1"/>
                <c:pt idx="0">
                  <c:v>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Arkusz1!$M$2:$M$37</c:f>
              <c:numCache>
                <c:formatCode>General</c:formatCode>
                <c:ptCount val="36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2.75</c:v>
                </c:pt>
                <c:pt idx="4">
                  <c:v>2.6</c:v>
                </c:pt>
                <c:pt idx="5">
                  <c:v>2.33333333333333</c:v>
                </c:pt>
                <c:pt idx="6">
                  <c:v>2.14285714285714</c:v>
                </c:pt>
                <c:pt idx="7">
                  <c:v>2.125</c:v>
                </c:pt>
                <c:pt idx="8">
                  <c:v>2</c:v>
                </c:pt>
                <c:pt idx="9">
                  <c:v>1.9</c:v>
                </c:pt>
                <c:pt idx="10">
                  <c:v>1.81818181818182</c:v>
                </c:pt>
                <c:pt idx="11">
                  <c:v>1.75</c:v>
                </c:pt>
                <c:pt idx="12">
                  <c:v>1.69230769230769</c:v>
                </c:pt>
                <c:pt idx="13">
                  <c:v>1.71428571428571</c:v>
                </c:pt>
                <c:pt idx="14">
                  <c:v>1.73333333333333</c:v>
                </c:pt>
                <c:pt idx="15">
                  <c:v>1.75</c:v>
                </c:pt>
                <c:pt idx="16">
                  <c:v>1.70588235294118</c:v>
                </c:pt>
                <c:pt idx="17">
                  <c:v>1.66666666666667</c:v>
                </c:pt>
                <c:pt idx="18">
                  <c:v>1.68421052631579</c:v>
                </c:pt>
                <c:pt idx="19">
                  <c:v>1.6</c:v>
                </c:pt>
                <c:pt idx="20">
                  <c:v>1.52380952380952</c:v>
                </c:pt>
                <c:pt idx="21">
                  <c:v>1.45454545454545</c:v>
                </c:pt>
                <c:pt idx="22">
                  <c:v>1.39130434782609</c:v>
                </c:pt>
                <c:pt idx="23">
                  <c:v>1.33333333333333</c:v>
                </c:pt>
                <c:pt idx="24">
                  <c:v>1.28</c:v>
                </c:pt>
                <c:pt idx="25">
                  <c:v>1.23076923076923</c:v>
                </c:pt>
                <c:pt idx="26">
                  <c:v>1.18518518518519</c:v>
                </c:pt>
                <c:pt idx="27">
                  <c:v>1.14285714285714</c:v>
                </c:pt>
                <c:pt idx="28">
                  <c:v>1.10344827586207</c:v>
                </c:pt>
                <c:pt idx="29">
                  <c:v>1.06666666666667</c:v>
                </c:pt>
                <c:pt idx="30">
                  <c:v>1.03225806451613</c:v>
                </c:pt>
                <c:pt idx="31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Arkusz1!$N$1</c:f>
              <c:strCache>
                <c:ptCount val="1"/>
                <c:pt idx="0">
                  <c:v>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Arkusz1!$N$2:$N$37</c:f>
              <c:numCache>
                <c:formatCode>General</c:formatCode>
                <c:ptCount val="36"/>
                <c:pt idx="0">
                  <c:v>1</c:v>
                </c:pt>
                <c:pt idx="1">
                  <c:v>1.5</c:v>
                </c:pt>
                <c:pt idx="2">
                  <c:v>1.66666666666667</c:v>
                </c:pt>
                <c:pt idx="3">
                  <c:v>1.5</c:v>
                </c:pt>
                <c:pt idx="4">
                  <c:v>1.6</c:v>
                </c:pt>
                <c:pt idx="5">
                  <c:v>1.66666666666667</c:v>
                </c:pt>
                <c:pt idx="6">
                  <c:v>1.71428571428571</c:v>
                </c:pt>
                <c:pt idx="7">
                  <c:v>1.625</c:v>
                </c:pt>
                <c:pt idx="8">
                  <c:v>1.77777777777778</c:v>
                </c:pt>
                <c:pt idx="9">
                  <c:v>1.7</c:v>
                </c:pt>
                <c:pt idx="10">
                  <c:v>1.72727272727273</c:v>
                </c:pt>
                <c:pt idx="11">
                  <c:v>1.66666666666667</c:v>
                </c:pt>
                <c:pt idx="12">
                  <c:v>1.61538461538462</c:v>
                </c:pt>
                <c:pt idx="13">
                  <c:v>1.57142857142857</c:v>
                </c:pt>
                <c:pt idx="14">
                  <c:v>1.6</c:v>
                </c:pt>
                <c:pt idx="15">
                  <c:v>1.625</c:v>
                </c:pt>
                <c:pt idx="16">
                  <c:v>1.64705882352941</c:v>
                </c:pt>
                <c:pt idx="17">
                  <c:v>1.61111111111111</c:v>
                </c:pt>
                <c:pt idx="18">
                  <c:v>1.57894736842105</c:v>
                </c:pt>
                <c:pt idx="19">
                  <c:v>1.6</c:v>
                </c:pt>
                <c:pt idx="20">
                  <c:v>1.52380952380952</c:v>
                </c:pt>
                <c:pt idx="21">
                  <c:v>1.45454545454545</c:v>
                </c:pt>
                <c:pt idx="22">
                  <c:v>1.39130434782609</c:v>
                </c:pt>
                <c:pt idx="23">
                  <c:v>1.33333333333333</c:v>
                </c:pt>
                <c:pt idx="24">
                  <c:v>1.28</c:v>
                </c:pt>
                <c:pt idx="25">
                  <c:v>1.23076923076923</c:v>
                </c:pt>
                <c:pt idx="26">
                  <c:v>1.18518518518519</c:v>
                </c:pt>
                <c:pt idx="27">
                  <c:v>1.14285714285714</c:v>
                </c:pt>
                <c:pt idx="28">
                  <c:v>1.10344827586207</c:v>
                </c:pt>
                <c:pt idx="29">
                  <c:v>1.06666666666667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35384011"/>
        <c:axId val="690507878"/>
      </c:lineChart>
      <c:catAx>
        <c:axId val="6353840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507878"/>
        <c:crosses val="autoZero"/>
        <c:auto val="1"/>
        <c:lblAlgn val="ctr"/>
        <c:lblOffset val="100"/>
        <c:noMultiLvlLbl val="0"/>
      </c:catAx>
      <c:valAx>
        <c:axId val="69050787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53840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Zmiany intensywności ruchu ρ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Arkusz1!$J$1</c:f>
              <c:strCache>
                <c:ptCount val="1"/>
                <c:pt idx="0">
                  <c:v>czas 
(w min.)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Arkusz1!$J$2:$J$37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Arkusz1!$O$1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Arkusz1!$O$2:$O$37</c:f>
              <c:numCache>
                <c:formatCode>General</c:formatCode>
                <c:ptCount val="36"/>
                <c:pt idx="0">
                  <c:v>1.5</c:v>
                </c:pt>
                <c:pt idx="1">
                  <c:v>0.666666666666667</c:v>
                </c:pt>
                <c:pt idx="2">
                  <c:v>0.6</c:v>
                </c:pt>
                <c:pt idx="3">
                  <c:v>0.916666666666667</c:v>
                </c:pt>
                <c:pt idx="4">
                  <c:v>0.8125</c:v>
                </c:pt>
                <c:pt idx="5">
                  <c:v>0.7</c:v>
                </c:pt>
                <c:pt idx="6">
                  <c:v>0.625</c:v>
                </c:pt>
                <c:pt idx="7">
                  <c:v>0.653846153846154</c:v>
                </c:pt>
                <c:pt idx="8">
                  <c:v>0.5625</c:v>
                </c:pt>
                <c:pt idx="9">
                  <c:v>0.558823529411765</c:v>
                </c:pt>
                <c:pt idx="10">
                  <c:v>0.526315789473684</c:v>
                </c:pt>
                <c:pt idx="11">
                  <c:v>0.525</c:v>
                </c:pt>
                <c:pt idx="12">
                  <c:v>0.523809523809524</c:v>
                </c:pt>
                <c:pt idx="13">
                  <c:v>0.545454545454545</c:v>
                </c:pt>
                <c:pt idx="14">
                  <c:v>0.541666666666667</c:v>
                </c:pt>
                <c:pt idx="15">
                  <c:v>0.538461538461538</c:v>
                </c:pt>
                <c:pt idx="16">
                  <c:v>0.517857142857143</c:v>
                </c:pt>
                <c:pt idx="17">
                  <c:v>0.517241379310345</c:v>
                </c:pt>
                <c:pt idx="18">
                  <c:v>0.533333333333333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15187505"/>
        <c:axId val="229154783"/>
      </c:lineChart>
      <c:catAx>
        <c:axId val="41518750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9154783"/>
        <c:crosses val="autoZero"/>
        <c:auto val="1"/>
        <c:lblAlgn val="ctr"/>
        <c:lblOffset val="100"/>
        <c:noMultiLvlLbl val="0"/>
      </c:catAx>
      <c:valAx>
        <c:axId val="22915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518750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Zmiany Q i W w czasie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Arkusz1!$J$1</c:f>
              <c:strCache>
                <c:ptCount val="1"/>
                <c:pt idx="0">
                  <c:v>czas 
(w min.)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Arkusz1!$J$2:$J$37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Arkusz1!$Q$1</c:f>
              <c:strCache>
                <c:ptCount val="1"/>
                <c:pt idx="0">
                  <c:v>Q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Arkusz1!$Q$2:$Q$37</c:f>
              <c:numCache>
                <c:formatCode>General</c:formatCode>
                <c:ptCount val="36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4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Arkusz1!$R$1</c:f>
              <c:strCache>
                <c:ptCount val="1"/>
                <c:pt idx="0">
                  <c:v>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Arkusz1!$R$2:$R$37</c:f>
              <c:numCache>
                <c:formatCode>General</c:formatCode>
                <c:ptCount val="36"/>
                <c:pt idx="0">
                  <c:v>0.666666666666667</c:v>
                </c:pt>
                <c:pt idx="1">
                  <c:v>0.5</c:v>
                </c:pt>
                <c:pt idx="2">
                  <c:v>0.5</c:v>
                </c:pt>
                <c:pt idx="3">
                  <c:v>1.81818181818182</c:v>
                </c:pt>
                <c:pt idx="4">
                  <c:v>1.92307692307692</c:v>
                </c:pt>
                <c:pt idx="5">
                  <c:v>1.71428571428571</c:v>
                </c:pt>
                <c:pt idx="6">
                  <c:v>1.4</c:v>
                </c:pt>
                <c:pt idx="7">
                  <c:v>1.88235294117647</c:v>
                </c:pt>
                <c:pt idx="8">
                  <c:v>1</c:v>
                </c:pt>
                <c:pt idx="9">
                  <c:v>1.05263157894737</c:v>
                </c:pt>
                <c:pt idx="10">
                  <c:v>0.55</c:v>
                </c:pt>
                <c:pt idx="11">
                  <c:v>0.571428571428571</c:v>
                </c:pt>
                <c:pt idx="12">
                  <c:v>0.590909090909091</c:v>
                </c:pt>
                <c:pt idx="13">
                  <c:v>1.16666666666667</c:v>
                </c:pt>
                <c:pt idx="14">
                  <c:v>1.15384615384615</c:v>
                </c:pt>
                <c:pt idx="15">
                  <c:v>1.14285714285714</c:v>
                </c:pt>
                <c:pt idx="16">
                  <c:v>0.586206896551724</c:v>
                </c:pt>
                <c:pt idx="17">
                  <c:v>0.6</c:v>
                </c:pt>
                <c:pt idx="18">
                  <c:v>1.1875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1345145"/>
        <c:axId val="198101410"/>
      </c:lineChart>
      <c:catAx>
        <c:axId val="6134514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8101410"/>
        <c:crosses val="autoZero"/>
        <c:auto val="1"/>
        <c:lblAlgn val="ctr"/>
        <c:lblOffset val="100"/>
        <c:noMultiLvlLbl val="0"/>
      </c:catAx>
      <c:valAx>
        <c:axId val="19810141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34514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19</xdr:col>
      <xdr:colOff>6350</xdr:colOff>
      <xdr:row>4</xdr:row>
      <xdr:rowOff>19685</xdr:rowOff>
    </xdr:from>
    <xdr:to>
      <xdr:col>26</xdr:col>
      <xdr:colOff>565150</xdr:colOff>
      <xdr:row>18</xdr:row>
      <xdr:rowOff>95885</xdr:rowOff>
    </xdr:to>
    <xdr:graphicFrame>
      <xdr:nvGraphicFramePr>
        <xdr:cNvPr id="5" name="Диаграмма 4"/>
        <xdr:cNvGraphicFramePr/>
      </xdr:nvGraphicFramePr>
      <xdr:xfrm>
        <a:off x="14303375" y="120078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3810</xdr:colOff>
      <xdr:row>19</xdr:row>
      <xdr:rowOff>152400</xdr:rowOff>
    </xdr:from>
    <xdr:to>
      <xdr:col>26</xdr:col>
      <xdr:colOff>562610</xdr:colOff>
      <xdr:row>34</xdr:row>
      <xdr:rowOff>38100</xdr:rowOff>
    </xdr:to>
    <xdr:graphicFrame>
      <xdr:nvGraphicFramePr>
        <xdr:cNvPr id="6" name="Диаграмма 5"/>
        <xdr:cNvGraphicFramePr/>
      </xdr:nvGraphicFramePr>
      <xdr:xfrm>
        <a:off x="14300835" y="41910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180975</xdr:colOff>
      <xdr:row>12</xdr:row>
      <xdr:rowOff>20320</xdr:rowOff>
    </xdr:from>
    <xdr:to>
      <xdr:col>35</xdr:col>
      <xdr:colOff>130175</xdr:colOff>
      <xdr:row>26</xdr:row>
      <xdr:rowOff>96520</xdr:rowOff>
    </xdr:to>
    <xdr:graphicFrame>
      <xdr:nvGraphicFramePr>
        <xdr:cNvPr id="7" name="Диаграмма 6"/>
        <xdr:cNvGraphicFramePr/>
      </xdr:nvGraphicFramePr>
      <xdr:xfrm>
        <a:off x="19354800" y="272542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7"/>
  <sheetViews>
    <sheetView tabSelected="1" zoomScale="82" zoomScaleNormal="82" zoomScaleSheetLayoutView="60" topLeftCell="J22" workbookViewId="0">
      <selection activeCell="X37" sqref="X37"/>
    </sheetView>
  </sheetViews>
  <sheetFormatPr defaultColWidth="9.14285714285714" defaultRowHeight="15"/>
  <cols>
    <col min="1" max="1" width="10.4285714285714" customWidth="1"/>
    <col min="3" max="3" width="14.4285714285714" customWidth="1"/>
    <col min="4" max="4" width="13.5714285714286" customWidth="1"/>
    <col min="7" max="7" width="12.8571428571429"/>
    <col min="9" max="9" width="9.71428571428571" customWidth="1"/>
    <col min="11" max="12" width="14.4285714285714" customWidth="1"/>
    <col min="13" max="15" width="12.8571428571429"/>
    <col min="18" max="18" width="12.8571428571429"/>
  </cols>
  <sheetData>
    <row r="1" ht="48" customHeigh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>
        <v>0</v>
      </c>
      <c r="C2">
        <v>0</v>
      </c>
      <c r="D2">
        <f>C2/60</f>
        <v>0</v>
      </c>
      <c r="E2">
        <f>C2</f>
        <v>0</v>
      </c>
      <c r="F2">
        <f>E2+H2</f>
        <v>40</v>
      </c>
      <c r="G2">
        <f>F2/60</f>
        <v>0.666666666666667</v>
      </c>
      <c r="H2">
        <v>40</v>
      </c>
      <c r="I2">
        <v>2</v>
      </c>
      <c r="J2">
        <v>1</v>
      </c>
      <c r="K2">
        <f>COUNTIF($D$2:$D$33,"&lt;="&amp;J2)</f>
        <v>3</v>
      </c>
      <c r="L2">
        <f>COUNTIF($G$2:$G$33,"&lt;="&amp;J2)</f>
        <v>1</v>
      </c>
      <c r="M2">
        <f>K2/J2</f>
        <v>3</v>
      </c>
      <c r="N2">
        <f>L2/J2</f>
        <v>1</v>
      </c>
      <c r="O2">
        <f>M2/($I$2*N2)</f>
        <v>1.5</v>
      </c>
      <c r="Q2">
        <f>K2-L2</f>
        <v>2</v>
      </c>
      <c r="R2">
        <f>Q2/M2</f>
        <v>0.666666666666667</v>
      </c>
    </row>
    <row r="3" spans="1:18">
      <c r="A3">
        <v>2</v>
      </c>
      <c r="B3">
        <v>6</v>
      </c>
      <c r="C3">
        <f>C2+B3</f>
        <v>6</v>
      </c>
      <c r="D3">
        <f t="shared" ref="D3:D33" si="0">C3/60</f>
        <v>0.1</v>
      </c>
      <c r="E3">
        <f>C3</f>
        <v>6</v>
      </c>
      <c r="F3">
        <f t="shared" ref="F3:F33" si="1">E3+H3</f>
        <v>66</v>
      </c>
      <c r="G3">
        <f t="shared" ref="G3:G33" si="2">F3/60</f>
        <v>1.1</v>
      </c>
      <c r="H3">
        <v>60</v>
      </c>
      <c r="J3">
        <v>2</v>
      </c>
      <c r="K3">
        <f t="shared" ref="K3:K33" si="3">COUNTIF($D$2:$D$33,"&lt;="&amp;J3)</f>
        <v>4</v>
      </c>
      <c r="L3">
        <f t="shared" ref="L3:L33" si="4">COUNTIF($G$2:$G$33,"&lt;="&amp;J3)</f>
        <v>3</v>
      </c>
      <c r="M3">
        <f t="shared" ref="M3:M33" si="5">K3/J3</f>
        <v>2</v>
      </c>
      <c r="N3">
        <f t="shared" ref="N3:N31" si="6">L3/J3</f>
        <v>1.5</v>
      </c>
      <c r="O3">
        <f t="shared" ref="O3:O33" si="7">M3/($I$2*N3)</f>
        <v>0.666666666666667</v>
      </c>
      <c r="Q3">
        <f t="shared" ref="Q3:Q33" si="8">K3-L3</f>
        <v>1</v>
      </c>
      <c r="R3">
        <f t="shared" ref="R3:R33" si="9">Q3/M3</f>
        <v>0.5</v>
      </c>
    </row>
    <row r="4" spans="1:18">
      <c r="A4">
        <v>3</v>
      </c>
      <c r="B4">
        <v>40</v>
      </c>
      <c r="C4">
        <f t="shared" ref="C4:C33" si="10">C3+B4</f>
        <v>46</v>
      </c>
      <c r="D4">
        <f t="shared" si="0"/>
        <v>0.766666666666667</v>
      </c>
      <c r="E4">
        <f>MAX(C4,MIN(F2:F3))</f>
        <v>46</v>
      </c>
      <c r="F4">
        <f t="shared" si="1"/>
        <v>111</v>
      </c>
      <c r="G4">
        <f t="shared" si="2"/>
        <v>1.85</v>
      </c>
      <c r="H4">
        <v>65</v>
      </c>
      <c r="J4">
        <v>3</v>
      </c>
      <c r="K4">
        <f t="shared" si="3"/>
        <v>6</v>
      </c>
      <c r="L4">
        <f t="shared" si="4"/>
        <v>5</v>
      </c>
      <c r="M4">
        <f t="shared" si="5"/>
        <v>2</v>
      </c>
      <c r="N4">
        <f t="shared" si="6"/>
        <v>1.66666666666667</v>
      </c>
      <c r="O4">
        <f t="shared" si="7"/>
        <v>0.6</v>
      </c>
      <c r="Q4">
        <f t="shared" si="8"/>
        <v>1</v>
      </c>
      <c r="R4">
        <f t="shared" si="9"/>
        <v>0.5</v>
      </c>
    </row>
    <row r="5" spans="1:18">
      <c r="A5">
        <v>4</v>
      </c>
      <c r="B5">
        <v>30</v>
      </c>
      <c r="C5">
        <f t="shared" si="10"/>
        <v>76</v>
      </c>
      <c r="D5">
        <f t="shared" si="0"/>
        <v>1.26666666666667</v>
      </c>
      <c r="E5">
        <f t="shared" ref="E5:E33" si="11">MAX(C5,MIN(F3:F4))</f>
        <v>76</v>
      </c>
      <c r="F5">
        <f t="shared" si="1"/>
        <v>136</v>
      </c>
      <c r="G5">
        <f t="shared" si="2"/>
        <v>2.26666666666667</v>
      </c>
      <c r="H5">
        <v>60</v>
      </c>
      <c r="J5">
        <v>4</v>
      </c>
      <c r="K5">
        <f t="shared" si="3"/>
        <v>11</v>
      </c>
      <c r="L5">
        <f t="shared" si="4"/>
        <v>6</v>
      </c>
      <c r="M5">
        <f t="shared" si="5"/>
        <v>2.75</v>
      </c>
      <c r="N5">
        <f t="shared" si="6"/>
        <v>1.5</v>
      </c>
      <c r="O5">
        <f t="shared" si="7"/>
        <v>0.916666666666667</v>
      </c>
      <c r="Q5">
        <f t="shared" si="8"/>
        <v>5</v>
      </c>
      <c r="R5">
        <f t="shared" si="9"/>
        <v>1.81818181818182</v>
      </c>
    </row>
    <row r="6" spans="1:18">
      <c r="A6">
        <v>5</v>
      </c>
      <c r="B6">
        <v>50</v>
      </c>
      <c r="C6">
        <f t="shared" si="10"/>
        <v>126</v>
      </c>
      <c r="D6">
        <f t="shared" si="0"/>
        <v>2.1</v>
      </c>
      <c r="E6">
        <f t="shared" si="11"/>
        <v>126</v>
      </c>
      <c r="F6">
        <f t="shared" si="1"/>
        <v>166</v>
      </c>
      <c r="G6">
        <f t="shared" si="2"/>
        <v>2.76666666666667</v>
      </c>
      <c r="H6">
        <v>40</v>
      </c>
      <c r="J6">
        <v>5</v>
      </c>
      <c r="K6">
        <f t="shared" si="3"/>
        <v>13</v>
      </c>
      <c r="L6">
        <f t="shared" si="4"/>
        <v>8</v>
      </c>
      <c r="M6">
        <f t="shared" si="5"/>
        <v>2.6</v>
      </c>
      <c r="N6">
        <f t="shared" si="6"/>
        <v>1.6</v>
      </c>
      <c r="O6">
        <f t="shared" si="7"/>
        <v>0.8125</v>
      </c>
      <c r="Q6">
        <f t="shared" si="8"/>
        <v>5</v>
      </c>
      <c r="R6">
        <f t="shared" si="9"/>
        <v>1.92307692307692</v>
      </c>
    </row>
    <row r="7" spans="1:18">
      <c r="A7">
        <v>6</v>
      </c>
      <c r="B7">
        <v>30</v>
      </c>
      <c r="C7">
        <f t="shared" si="10"/>
        <v>156</v>
      </c>
      <c r="D7">
        <f t="shared" si="0"/>
        <v>2.6</v>
      </c>
      <c r="E7">
        <f t="shared" si="11"/>
        <v>156</v>
      </c>
      <c r="F7">
        <f t="shared" si="1"/>
        <v>211</v>
      </c>
      <c r="G7">
        <f t="shared" si="2"/>
        <v>3.51666666666667</v>
      </c>
      <c r="H7">
        <v>55</v>
      </c>
      <c r="J7">
        <v>6</v>
      </c>
      <c r="K7">
        <f t="shared" si="3"/>
        <v>14</v>
      </c>
      <c r="L7">
        <f t="shared" si="4"/>
        <v>10</v>
      </c>
      <c r="M7">
        <f t="shared" si="5"/>
        <v>2.33333333333333</v>
      </c>
      <c r="N7">
        <f t="shared" si="6"/>
        <v>1.66666666666667</v>
      </c>
      <c r="O7">
        <f t="shared" si="7"/>
        <v>0.7</v>
      </c>
      <c r="Q7">
        <f t="shared" si="8"/>
        <v>4</v>
      </c>
      <c r="R7">
        <f t="shared" si="9"/>
        <v>1.71428571428571</v>
      </c>
    </row>
    <row r="8" spans="1:18">
      <c r="A8">
        <v>7</v>
      </c>
      <c r="B8">
        <v>25</v>
      </c>
      <c r="C8">
        <f t="shared" si="10"/>
        <v>181</v>
      </c>
      <c r="D8">
        <f t="shared" si="0"/>
        <v>3.01666666666667</v>
      </c>
      <c r="E8">
        <f t="shared" si="11"/>
        <v>181</v>
      </c>
      <c r="F8">
        <f t="shared" si="1"/>
        <v>246</v>
      </c>
      <c r="G8">
        <f t="shared" si="2"/>
        <v>4.1</v>
      </c>
      <c r="H8">
        <v>65</v>
      </c>
      <c r="J8">
        <v>7</v>
      </c>
      <c r="K8">
        <f t="shared" si="3"/>
        <v>15</v>
      </c>
      <c r="L8">
        <f t="shared" si="4"/>
        <v>12</v>
      </c>
      <c r="M8">
        <f t="shared" si="5"/>
        <v>2.14285714285714</v>
      </c>
      <c r="N8">
        <f t="shared" si="6"/>
        <v>1.71428571428571</v>
      </c>
      <c r="O8">
        <f t="shared" si="7"/>
        <v>0.625</v>
      </c>
      <c r="Q8">
        <f t="shared" si="8"/>
        <v>3</v>
      </c>
      <c r="R8">
        <f t="shared" si="9"/>
        <v>1.4</v>
      </c>
    </row>
    <row r="9" spans="1:18">
      <c r="A9">
        <v>8</v>
      </c>
      <c r="B9">
        <v>5</v>
      </c>
      <c r="C9">
        <f t="shared" si="10"/>
        <v>186</v>
      </c>
      <c r="D9">
        <f t="shared" si="0"/>
        <v>3.1</v>
      </c>
      <c r="E9">
        <f t="shared" si="11"/>
        <v>211</v>
      </c>
      <c r="F9">
        <f t="shared" si="1"/>
        <v>271</v>
      </c>
      <c r="G9">
        <f t="shared" si="2"/>
        <v>4.51666666666667</v>
      </c>
      <c r="H9">
        <v>60</v>
      </c>
      <c r="J9">
        <v>8</v>
      </c>
      <c r="K9">
        <f t="shared" si="3"/>
        <v>17</v>
      </c>
      <c r="L9">
        <f t="shared" si="4"/>
        <v>13</v>
      </c>
      <c r="M9">
        <f t="shared" si="5"/>
        <v>2.125</v>
      </c>
      <c r="N9">
        <f t="shared" si="6"/>
        <v>1.625</v>
      </c>
      <c r="O9">
        <f t="shared" si="7"/>
        <v>0.653846153846154</v>
      </c>
      <c r="Q9">
        <f t="shared" si="8"/>
        <v>4</v>
      </c>
      <c r="R9">
        <f t="shared" si="9"/>
        <v>1.88235294117647</v>
      </c>
    </row>
    <row r="10" spans="1:18">
      <c r="A10">
        <v>9</v>
      </c>
      <c r="B10">
        <v>15</v>
      </c>
      <c r="C10">
        <f t="shared" si="10"/>
        <v>201</v>
      </c>
      <c r="D10">
        <f t="shared" si="0"/>
        <v>3.35</v>
      </c>
      <c r="E10">
        <f t="shared" si="11"/>
        <v>246</v>
      </c>
      <c r="F10">
        <f t="shared" si="1"/>
        <v>306</v>
      </c>
      <c r="G10">
        <f t="shared" si="2"/>
        <v>5.1</v>
      </c>
      <c r="H10">
        <v>60</v>
      </c>
      <c r="J10">
        <v>9</v>
      </c>
      <c r="K10">
        <f t="shared" si="3"/>
        <v>18</v>
      </c>
      <c r="L10">
        <f t="shared" si="4"/>
        <v>16</v>
      </c>
      <c r="M10">
        <f t="shared" si="5"/>
        <v>2</v>
      </c>
      <c r="N10">
        <f t="shared" si="6"/>
        <v>1.77777777777778</v>
      </c>
      <c r="O10">
        <f t="shared" si="7"/>
        <v>0.5625</v>
      </c>
      <c r="Q10">
        <f t="shared" si="8"/>
        <v>2</v>
      </c>
      <c r="R10">
        <f t="shared" si="9"/>
        <v>1</v>
      </c>
    </row>
    <row r="11" spans="1:18">
      <c r="A11">
        <v>10</v>
      </c>
      <c r="B11">
        <v>15</v>
      </c>
      <c r="C11">
        <f t="shared" si="10"/>
        <v>216</v>
      </c>
      <c r="D11">
        <f t="shared" si="0"/>
        <v>3.6</v>
      </c>
      <c r="E11">
        <f t="shared" si="11"/>
        <v>271</v>
      </c>
      <c r="F11">
        <f t="shared" si="1"/>
        <v>341</v>
      </c>
      <c r="G11">
        <f t="shared" si="2"/>
        <v>5.68333333333333</v>
      </c>
      <c r="H11">
        <v>70</v>
      </c>
      <c r="J11">
        <v>10</v>
      </c>
      <c r="K11">
        <f t="shared" si="3"/>
        <v>19</v>
      </c>
      <c r="L11">
        <f t="shared" si="4"/>
        <v>17</v>
      </c>
      <c r="M11">
        <f t="shared" si="5"/>
        <v>1.9</v>
      </c>
      <c r="N11">
        <f t="shared" si="6"/>
        <v>1.7</v>
      </c>
      <c r="O11">
        <f t="shared" si="7"/>
        <v>0.558823529411765</v>
      </c>
      <c r="Q11">
        <f t="shared" si="8"/>
        <v>2</v>
      </c>
      <c r="R11">
        <f t="shared" si="9"/>
        <v>1.05263157894737</v>
      </c>
    </row>
    <row r="12" spans="1:18">
      <c r="A12">
        <v>11</v>
      </c>
      <c r="B12">
        <v>10</v>
      </c>
      <c r="C12">
        <f t="shared" si="10"/>
        <v>226</v>
      </c>
      <c r="D12">
        <f t="shared" si="0"/>
        <v>3.76666666666667</v>
      </c>
      <c r="E12">
        <f t="shared" si="11"/>
        <v>306</v>
      </c>
      <c r="F12">
        <f t="shared" si="1"/>
        <v>371</v>
      </c>
      <c r="G12">
        <f t="shared" si="2"/>
        <v>6.18333333333333</v>
      </c>
      <c r="H12">
        <v>65</v>
      </c>
      <c r="J12">
        <v>11</v>
      </c>
      <c r="K12">
        <f t="shared" si="3"/>
        <v>20</v>
      </c>
      <c r="L12">
        <f t="shared" si="4"/>
        <v>19</v>
      </c>
      <c r="M12">
        <f t="shared" si="5"/>
        <v>1.81818181818182</v>
      </c>
      <c r="N12">
        <f t="shared" si="6"/>
        <v>1.72727272727273</v>
      </c>
      <c r="O12">
        <f t="shared" si="7"/>
        <v>0.526315789473684</v>
      </c>
      <c r="Q12">
        <f t="shared" si="8"/>
        <v>1</v>
      </c>
      <c r="R12">
        <f t="shared" si="9"/>
        <v>0.55</v>
      </c>
    </row>
    <row r="13" spans="1:18">
      <c r="A13">
        <v>12</v>
      </c>
      <c r="B13">
        <v>30</v>
      </c>
      <c r="C13">
        <f t="shared" si="10"/>
        <v>256</v>
      </c>
      <c r="D13">
        <f t="shared" si="0"/>
        <v>4.26666666666667</v>
      </c>
      <c r="E13">
        <f t="shared" si="11"/>
        <v>341</v>
      </c>
      <c r="F13">
        <f t="shared" si="1"/>
        <v>411</v>
      </c>
      <c r="G13">
        <f t="shared" si="2"/>
        <v>6.85</v>
      </c>
      <c r="H13">
        <v>70</v>
      </c>
      <c r="J13">
        <v>12</v>
      </c>
      <c r="K13">
        <f t="shared" si="3"/>
        <v>21</v>
      </c>
      <c r="L13">
        <f t="shared" si="4"/>
        <v>20</v>
      </c>
      <c r="M13">
        <f t="shared" si="5"/>
        <v>1.75</v>
      </c>
      <c r="N13">
        <f t="shared" si="6"/>
        <v>1.66666666666667</v>
      </c>
      <c r="O13">
        <f t="shared" si="7"/>
        <v>0.525</v>
      </c>
      <c r="Q13">
        <f t="shared" si="8"/>
        <v>1</v>
      </c>
      <c r="R13">
        <f t="shared" si="9"/>
        <v>0.571428571428571</v>
      </c>
    </row>
    <row r="14" spans="1:18">
      <c r="A14">
        <v>13</v>
      </c>
      <c r="B14">
        <v>40</v>
      </c>
      <c r="C14">
        <f t="shared" si="10"/>
        <v>296</v>
      </c>
      <c r="D14">
        <f t="shared" si="0"/>
        <v>4.93333333333333</v>
      </c>
      <c r="E14">
        <f t="shared" si="11"/>
        <v>371</v>
      </c>
      <c r="F14">
        <f t="shared" si="1"/>
        <v>436</v>
      </c>
      <c r="G14">
        <f t="shared" si="2"/>
        <v>7.26666666666667</v>
      </c>
      <c r="H14">
        <v>65</v>
      </c>
      <c r="J14">
        <v>13</v>
      </c>
      <c r="K14">
        <f t="shared" si="3"/>
        <v>22</v>
      </c>
      <c r="L14">
        <f t="shared" si="4"/>
        <v>21</v>
      </c>
      <c r="M14">
        <f t="shared" si="5"/>
        <v>1.69230769230769</v>
      </c>
      <c r="N14">
        <f t="shared" si="6"/>
        <v>1.61538461538462</v>
      </c>
      <c r="O14">
        <f t="shared" si="7"/>
        <v>0.523809523809524</v>
      </c>
      <c r="Q14">
        <f t="shared" si="8"/>
        <v>1</v>
      </c>
      <c r="R14">
        <f t="shared" si="9"/>
        <v>0.590909090909091</v>
      </c>
    </row>
    <row r="15" spans="1:18">
      <c r="A15">
        <v>14</v>
      </c>
      <c r="B15">
        <v>40</v>
      </c>
      <c r="C15">
        <f t="shared" si="10"/>
        <v>336</v>
      </c>
      <c r="D15">
        <f t="shared" si="0"/>
        <v>5.6</v>
      </c>
      <c r="E15">
        <f t="shared" si="11"/>
        <v>411</v>
      </c>
      <c r="F15">
        <f t="shared" si="1"/>
        <v>486</v>
      </c>
      <c r="G15">
        <f t="shared" si="2"/>
        <v>8.1</v>
      </c>
      <c r="H15">
        <v>75</v>
      </c>
      <c r="J15">
        <v>14</v>
      </c>
      <c r="K15">
        <f t="shared" si="3"/>
        <v>24</v>
      </c>
      <c r="L15">
        <f t="shared" si="4"/>
        <v>22</v>
      </c>
      <c r="M15">
        <f t="shared" si="5"/>
        <v>1.71428571428571</v>
      </c>
      <c r="N15">
        <f t="shared" si="6"/>
        <v>1.57142857142857</v>
      </c>
      <c r="O15">
        <f t="shared" si="7"/>
        <v>0.545454545454545</v>
      </c>
      <c r="Q15">
        <f t="shared" si="8"/>
        <v>2</v>
      </c>
      <c r="R15">
        <f t="shared" si="9"/>
        <v>1.16666666666667</v>
      </c>
    </row>
    <row r="16" spans="1:18">
      <c r="A16">
        <v>15</v>
      </c>
      <c r="B16">
        <v>40</v>
      </c>
      <c r="C16">
        <f t="shared" si="10"/>
        <v>376</v>
      </c>
      <c r="D16">
        <f t="shared" si="0"/>
        <v>6.26666666666667</v>
      </c>
      <c r="E16">
        <f t="shared" si="11"/>
        <v>436</v>
      </c>
      <c r="F16">
        <f t="shared" si="1"/>
        <v>496</v>
      </c>
      <c r="G16">
        <f t="shared" si="2"/>
        <v>8.26666666666667</v>
      </c>
      <c r="H16">
        <v>60</v>
      </c>
      <c r="J16">
        <v>15</v>
      </c>
      <c r="K16">
        <f t="shared" si="3"/>
        <v>26</v>
      </c>
      <c r="L16">
        <f t="shared" si="4"/>
        <v>24</v>
      </c>
      <c r="M16">
        <f t="shared" si="5"/>
        <v>1.73333333333333</v>
      </c>
      <c r="N16">
        <f t="shared" si="6"/>
        <v>1.6</v>
      </c>
      <c r="O16">
        <f t="shared" si="7"/>
        <v>0.541666666666667</v>
      </c>
      <c r="Q16">
        <f t="shared" si="8"/>
        <v>2</v>
      </c>
      <c r="R16">
        <f t="shared" si="9"/>
        <v>1.15384615384615</v>
      </c>
    </row>
    <row r="17" spans="1:18">
      <c r="A17">
        <v>16</v>
      </c>
      <c r="B17">
        <v>50</v>
      </c>
      <c r="C17">
        <f t="shared" si="10"/>
        <v>426</v>
      </c>
      <c r="D17">
        <f t="shared" si="0"/>
        <v>7.1</v>
      </c>
      <c r="E17">
        <f t="shared" si="11"/>
        <v>486</v>
      </c>
      <c r="F17">
        <f t="shared" si="1"/>
        <v>536</v>
      </c>
      <c r="G17">
        <f t="shared" si="2"/>
        <v>8.93333333333333</v>
      </c>
      <c r="H17">
        <v>50</v>
      </c>
      <c r="J17">
        <v>16</v>
      </c>
      <c r="K17">
        <f t="shared" si="3"/>
        <v>28</v>
      </c>
      <c r="L17">
        <f t="shared" si="4"/>
        <v>26</v>
      </c>
      <c r="M17">
        <f t="shared" si="5"/>
        <v>1.75</v>
      </c>
      <c r="N17">
        <f t="shared" si="6"/>
        <v>1.625</v>
      </c>
      <c r="O17">
        <f t="shared" si="7"/>
        <v>0.538461538461538</v>
      </c>
      <c r="Q17">
        <f t="shared" si="8"/>
        <v>2</v>
      </c>
      <c r="R17">
        <f t="shared" si="9"/>
        <v>1.14285714285714</v>
      </c>
    </row>
    <row r="18" spans="1:18">
      <c r="A18">
        <v>17</v>
      </c>
      <c r="B18">
        <v>50</v>
      </c>
      <c r="C18">
        <f t="shared" si="10"/>
        <v>476</v>
      </c>
      <c r="D18">
        <f t="shared" si="0"/>
        <v>7.93333333333333</v>
      </c>
      <c r="E18">
        <f t="shared" si="11"/>
        <v>496</v>
      </c>
      <c r="F18">
        <f t="shared" si="1"/>
        <v>561</v>
      </c>
      <c r="G18">
        <f t="shared" si="2"/>
        <v>9.35</v>
      </c>
      <c r="H18">
        <v>65</v>
      </c>
      <c r="J18">
        <v>17</v>
      </c>
      <c r="K18">
        <f t="shared" si="3"/>
        <v>29</v>
      </c>
      <c r="L18">
        <f t="shared" si="4"/>
        <v>28</v>
      </c>
      <c r="M18">
        <f t="shared" si="5"/>
        <v>1.70588235294118</v>
      </c>
      <c r="N18">
        <f t="shared" si="6"/>
        <v>1.64705882352941</v>
      </c>
      <c r="O18">
        <f t="shared" si="7"/>
        <v>0.517857142857143</v>
      </c>
      <c r="Q18">
        <f t="shared" si="8"/>
        <v>1</v>
      </c>
      <c r="R18">
        <f t="shared" si="9"/>
        <v>0.586206896551724</v>
      </c>
    </row>
    <row r="19" spans="1:18">
      <c r="A19">
        <v>18</v>
      </c>
      <c r="B19">
        <v>55</v>
      </c>
      <c r="C19">
        <f t="shared" si="10"/>
        <v>531</v>
      </c>
      <c r="D19">
        <f t="shared" si="0"/>
        <v>8.85</v>
      </c>
      <c r="E19">
        <f t="shared" si="11"/>
        <v>536</v>
      </c>
      <c r="F19">
        <f t="shared" si="1"/>
        <v>601</v>
      </c>
      <c r="G19">
        <f t="shared" si="2"/>
        <v>10.0166666666667</v>
      </c>
      <c r="H19">
        <v>65</v>
      </c>
      <c r="J19">
        <v>18</v>
      </c>
      <c r="K19">
        <f t="shared" si="3"/>
        <v>30</v>
      </c>
      <c r="L19">
        <f t="shared" si="4"/>
        <v>29</v>
      </c>
      <c r="M19">
        <f t="shared" si="5"/>
        <v>1.66666666666667</v>
      </c>
      <c r="N19">
        <f t="shared" si="6"/>
        <v>1.61111111111111</v>
      </c>
      <c r="O19">
        <f t="shared" si="7"/>
        <v>0.517241379310345</v>
      </c>
      <c r="Q19">
        <f t="shared" si="8"/>
        <v>1</v>
      </c>
      <c r="R19">
        <f t="shared" si="9"/>
        <v>0.6</v>
      </c>
    </row>
    <row r="20" spans="1:18">
      <c r="A20">
        <v>19</v>
      </c>
      <c r="B20">
        <v>45</v>
      </c>
      <c r="C20">
        <f t="shared" si="10"/>
        <v>576</v>
      </c>
      <c r="D20">
        <f t="shared" si="0"/>
        <v>9.6</v>
      </c>
      <c r="E20">
        <f t="shared" si="11"/>
        <v>576</v>
      </c>
      <c r="F20">
        <f t="shared" si="1"/>
        <v>641</v>
      </c>
      <c r="G20">
        <f t="shared" si="2"/>
        <v>10.6833333333333</v>
      </c>
      <c r="H20">
        <v>65</v>
      </c>
      <c r="J20">
        <v>19</v>
      </c>
      <c r="K20">
        <f t="shared" si="3"/>
        <v>32</v>
      </c>
      <c r="L20">
        <f t="shared" si="4"/>
        <v>30</v>
      </c>
      <c r="M20">
        <f t="shared" si="5"/>
        <v>1.68421052631579</v>
      </c>
      <c r="N20">
        <f t="shared" si="6"/>
        <v>1.57894736842105</v>
      </c>
      <c r="O20">
        <f t="shared" si="7"/>
        <v>0.533333333333333</v>
      </c>
      <c r="Q20">
        <f t="shared" si="8"/>
        <v>2</v>
      </c>
      <c r="R20">
        <f t="shared" si="9"/>
        <v>1.1875</v>
      </c>
    </row>
    <row r="21" spans="1:18">
      <c r="A21">
        <v>20</v>
      </c>
      <c r="B21">
        <v>55</v>
      </c>
      <c r="C21">
        <f t="shared" si="10"/>
        <v>631</v>
      </c>
      <c r="D21">
        <f t="shared" si="0"/>
        <v>10.5166666666667</v>
      </c>
      <c r="E21">
        <f t="shared" si="11"/>
        <v>631</v>
      </c>
      <c r="F21">
        <f t="shared" si="1"/>
        <v>706</v>
      </c>
      <c r="G21">
        <f t="shared" si="2"/>
        <v>11.7666666666667</v>
      </c>
      <c r="H21">
        <v>75</v>
      </c>
      <c r="J21">
        <v>20</v>
      </c>
      <c r="K21">
        <f t="shared" si="3"/>
        <v>32</v>
      </c>
      <c r="L21">
        <f t="shared" si="4"/>
        <v>32</v>
      </c>
      <c r="M21">
        <f t="shared" si="5"/>
        <v>1.6</v>
      </c>
      <c r="N21">
        <f t="shared" si="6"/>
        <v>1.6</v>
      </c>
      <c r="O21">
        <f t="shared" si="7"/>
        <v>0.5</v>
      </c>
      <c r="Q21">
        <f t="shared" si="8"/>
        <v>0</v>
      </c>
      <c r="R21">
        <f t="shared" si="9"/>
        <v>0</v>
      </c>
    </row>
    <row r="22" spans="1:18">
      <c r="A22">
        <v>21</v>
      </c>
      <c r="B22">
        <v>55</v>
      </c>
      <c r="C22">
        <f t="shared" si="10"/>
        <v>686</v>
      </c>
      <c r="D22">
        <f t="shared" si="0"/>
        <v>11.4333333333333</v>
      </c>
      <c r="E22">
        <f t="shared" si="11"/>
        <v>686</v>
      </c>
      <c r="F22">
        <f t="shared" si="1"/>
        <v>756</v>
      </c>
      <c r="G22">
        <f t="shared" si="2"/>
        <v>12.6</v>
      </c>
      <c r="H22">
        <v>70</v>
      </c>
      <c r="J22">
        <v>21</v>
      </c>
      <c r="K22">
        <f t="shared" si="3"/>
        <v>32</v>
      </c>
      <c r="L22">
        <f t="shared" si="4"/>
        <v>32</v>
      </c>
      <c r="M22">
        <f t="shared" si="5"/>
        <v>1.52380952380952</v>
      </c>
      <c r="N22">
        <f t="shared" si="6"/>
        <v>1.52380952380952</v>
      </c>
      <c r="O22">
        <f t="shared" si="7"/>
        <v>0.5</v>
      </c>
      <c r="Q22">
        <f t="shared" si="8"/>
        <v>0</v>
      </c>
      <c r="R22">
        <f t="shared" si="9"/>
        <v>0</v>
      </c>
    </row>
    <row r="23" spans="1:18">
      <c r="A23">
        <v>22</v>
      </c>
      <c r="B23">
        <v>50</v>
      </c>
      <c r="C23">
        <f t="shared" si="10"/>
        <v>736</v>
      </c>
      <c r="D23">
        <f t="shared" si="0"/>
        <v>12.2666666666667</v>
      </c>
      <c r="E23">
        <f t="shared" si="11"/>
        <v>736</v>
      </c>
      <c r="F23">
        <f t="shared" si="1"/>
        <v>796</v>
      </c>
      <c r="G23">
        <f t="shared" si="2"/>
        <v>13.2666666666667</v>
      </c>
      <c r="H23">
        <v>60</v>
      </c>
      <c r="J23">
        <v>22</v>
      </c>
      <c r="K23">
        <f t="shared" si="3"/>
        <v>32</v>
      </c>
      <c r="L23">
        <f t="shared" si="4"/>
        <v>32</v>
      </c>
      <c r="M23">
        <f t="shared" si="5"/>
        <v>1.45454545454545</v>
      </c>
      <c r="N23">
        <f t="shared" si="6"/>
        <v>1.45454545454545</v>
      </c>
      <c r="O23">
        <f t="shared" si="7"/>
        <v>0.5</v>
      </c>
      <c r="Q23">
        <f t="shared" si="8"/>
        <v>0</v>
      </c>
      <c r="R23">
        <f t="shared" si="9"/>
        <v>0</v>
      </c>
    </row>
    <row r="24" spans="1:18">
      <c r="A24">
        <v>23</v>
      </c>
      <c r="B24">
        <v>45</v>
      </c>
      <c r="C24">
        <f t="shared" si="10"/>
        <v>781</v>
      </c>
      <c r="D24">
        <f t="shared" si="0"/>
        <v>13.0166666666667</v>
      </c>
      <c r="E24">
        <f t="shared" si="11"/>
        <v>781</v>
      </c>
      <c r="F24">
        <f t="shared" si="1"/>
        <v>846</v>
      </c>
      <c r="G24">
        <f t="shared" si="2"/>
        <v>14.1</v>
      </c>
      <c r="H24">
        <v>65</v>
      </c>
      <c r="J24">
        <v>23</v>
      </c>
      <c r="K24">
        <f t="shared" si="3"/>
        <v>32</v>
      </c>
      <c r="L24">
        <f t="shared" si="4"/>
        <v>32</v>
      </c>
      <c r="M24">
        <f t="shared" si="5"/>
        <v>1.39130434782609</v>
      </c>
      <c r="N24">
        <f t="shared" si="6"/>
        <v>1.39130434782609</v>
      </c>
      <c r="O24">
        <f t="shared" si="7"/>
        <v>0.5</v>
      </c>
      <c r="Q24">
        <f t="shared" si="8"/>
        <v>0</v>
      </c>
      <c r="R24">
        <f t="shared" si="9"/>
        <v>0</v>
      </c>
    </row>
    <row r="25" spans="1:18">
      <c r="A25">
        <v>24</v>
      </c>
      <c r="B25">
        <v>45</v>
      </c>
      <c r="C25">
        <f t="shared" si="10"/>
        <v>826</v>
      </c>
      <c r="D25">
        <f t="shared" si="0"/>
        <v>13.7666666666667</v>
      </c>
      <c r="E25">
        <f t="shared" si="11"/>
        <v>826</v>
      </c>
      <c r="F25">
        <f t="shared" si="1"/>
        <v>888</v>
      </c>
      <c r="G25">
        <f t="shared" si="2"/>
        <v>14.8</v>
      </c>
      <c r="H25">
        <v>62</v>
      </c>
      <c r="J25">
        <v>24</v>
      </c>
      <c r="K25">
        <f t="shared" si="3"/>
        <v>32</v>
      </c>
      <c r="L25">
        <f t="shared" si="4"/>
        <v>32</v>
      </c>
      <c r="M25">
        <f t="shared" si="5"/>
        <v>1.33333333333333</v>
      </c>
      <c r="N25">
        <f t="shared" si="6"/>
        <v>1.33333333333333</v>
      </c>
      <c r="O25">
        <f t="shared" si="7"/>
        <v>0.5</v>
      </c>
      <c r="Q25">
        <f t="shared" si="8"/>
        <v>0</v>
      </c>
      <c r="R25">
        <f t="shared" si="9"/>
        <v>0</v>
      </c>
    </row>
    <row r="26" spans="1:18">
      <c r="A26">
        <v>25</v>
      </c>
      <c r="B26">
        <v>50</v>
      </c>
      <c r="C26">
        <f t="shared" si="10"/>
        <v>876</v>
      </c>
      <c r="D26">
        <f t="shared" si="0"/>
        <v>14.6</v>
      </c>
      <c r="E26">
        <f t="shared" si="11"/>
        <v>876</v>
      </c>
      <c r="F26">
        <f t="shared" si="1"/>
        <v>936</v>
      </c>
      <c r="G26">
        <f t="shared" si="2"/>
        <v>15.6</v>
      </c>
      <c r="H26">
        <v>60</v>
      </c>
      <c r="J26">
        <v>25</v>
      </c>
      <c r="K26">
        <f t="shared" si="3"/>
        <v>32</v>
      </c>
      <c r="L26">
        <f t="shared" si="4"/>
        <v>32</v>
      </c>
      <c r="M26">
        <f t="shared" si="5"/>
        <v>1.28</v>
      </c>
      <c r="N26">
        <f t="shared" si="6"/>
        <v>1.28</v>
      </c>
      <c r="O26">
        <f t="shared" si="7"/>
        <v>0.5</v>
      </c>
      <c r="Q26">
        <f t="shared" si="8"/>
        <v>0</v>
      </c>
      <c r="R26">
        <f t="shared" si="9"/>
        <v>0</v>
      </c>
    </row>
    <row r="27" spans="1:18">
      <c r="A27">
        <v>26</v>
      </c>
      <c r="B27">
        <v>10</v>
      </c>
      <c r="C27">
        <f t="shared" si="10"/>
        <v>886</v>
      </c>
      <c r="D27">
        <f t="shared" si="0"/>
        <v>14.7666666666667</v>
      </c>
      <c r="E27">
        <f t="shared" si="11"/>
        <v>888</v>
      </c>
      <c r="F27">
        <f t="shared" si="1"/>
        <v>928</v>
      </c>
      <c r="G27">
        <f t="shared" si="2"/>
        <v>15.4666666666667</v>
      </c>
      <c r="H27">
        <v>40</v>
      </c>
      <c r="J27">
        <v>26</v>
      </c>
      <c r="K27">
        <f t="shared" si="3"/>
        <v>32</v>
      </c>
      <c r="L27">
        <f t="shared" si="4"/>
        <v>32</v>
      </c>
      <c r="M27">
        <f t="shared" si="5"/>
        <v>1.23076923076923</v>
      </c>
      <c r="N27">
        <f t="shared" si="6"/>
        <v>1.23076923076923</v>
      </c>
      <c r="O27">
        <f t="shared" si="7"/>
        <v>0.5</v>
      </c>
      <c r="Q27">
        <f t="shared" si="8"/>
        <v>0</v>
      </c>
      <c r="R27">
        <f t="shared" si="9"/>
        <v>0</v>
      </c>
    </row>
    <row r="28" spans="1:18">
      <c r="A28">
        <v>27</v>
      </c>
      <c r="B28">
        <v>25</v>
      </c>
      <c r="C28">
        <f t="shared" si="10"/>
        <v>911</v>
      </c>
      <c r="D28">
        <f t="shared" si="0"/>
        <v>15.1833333333333</v>
      </c>
      <c r="E28">
        <f t="shared" si="11"/>
        <v>928</v>
      </c>
      <c r="F28">
        <f t="shared" si="1"/>
        <v>983</v>
      </c>
      <c r="G28">
        <f t="shared" si="2"/>
        <v>16.3833333333333</v>
      </c>
      <c r="H28">
        <v>55</v>
      </c>
      <c r="J28">
        <v>27</v>
      </c>
      <c r="K28">
        <f t="shared" si="3"/>
        <v>32</v>
      </c>
      <c r="L28">
        <f t="shared" si="4"/>
        <v>32</v>
      </c>
      <c r="M28">
        <f t="shared" si="5"/>
        <v>1.18518518518519</v>
      </c>
      <c r="N28">
        <f t="shared" si="6"/>
        <v>1.18518518518519</v>
      </c>
      <c r="O28">
        <f t="shared" si="7"/>
        <v>0.5</v>
      </c>
      <c r="Q28">
        <f t="shared" si="8"/>
        <v>0</v>
      </c>
      <c r="R28">
        <f t="shared" si="9"/>
        <v>0</v>
      </c>
    </row>
    <row r="29" spans="1:18">
      <c r="A29">
        <v>28</v>
      </c>
      <c r="B29">
        <v>25</v>
      </c>
      <c r="C29">
        <f t="shared" si="10"/>
        <v>936</v>
      </c>
      <c r="D29">
        <f t="shared" si="0"/>
        <v>15.6</v>
      </c>
      <c r="E29">
        <f t="shared" si="11"/>
        <v>936</v>
      </c>
      <c r="F29">
        <f t="shared" si="1"/>
        <v>1011</v>
      </c>
      <c r="G29">
        <f t="shared" si="2"/>
        <v>16.85</v>
      </c>
      <c r="H29">
        <v>75</v>
      </c>
      <c r="J29">
        <v>28</v>
      </c>
      <c r="K29">
        <f t="shared" si="3"/>
        <v>32</v>
      </c>
      <c r="L29">
        <f t="shared" si="4"/>
        <v>32</v>
      </c>
      <c r="M29">
        <f t="shared" si="5"/>
        <v>1.14285714285714</v>
      </c>
      <c r="N29">
        <f t="shared" si="6"/>
        <v>1.14285714285714</v>
      </c>
      <c r="O29">
        <f t="shared" si="7"/>
        <v>0.5</v>
      </c>
      <c r="Q29">
        <f t="shared" si="8"/>
        <v>0</v>
      </c>
      <c r="R29">
        <f t="shared" si="9"/>
        <v>0</v>
      </c>
    </row>
    <row r="30" spans="1:18">
      <c r="A30">
        <v>29</v>
      </c>
      <c r="B30">
        <v>55</v>
      </c>
      <c r="C30">
        <f t="shared" si="10"/>
        <v>991</v>
      </c>
      <c r="D30">
        <f t="shared" si="0"/>
        <v>16.5166666666667</v>
      </c>
      <c r="E30">
        <f t="shared" si="11"/>
        <v>991</v>
      </c>
      <c r="F30">
        <f t="shared" si="1"/>
        <v>1051</v>
      </c>
      <c r="G30">
        <f t="shared" si="2"/>
        <v>17.5166666666667</v>
      </c>
      <c r="H30">
        <v>60</v>
      </c>
      <c r="J30">
        <v>29</v>
      </c>
      <c r="K30">
        <f t="shared" si="3"/>
        <v>32</v>
      </c>
      <c r="L30">
        <f t="shared" si="4"/>
        <v>32</v>
      </c>
      <c r="M30">
        <f t="shared" si="5"/>
        <v>1.10344827586207</v>
      </c>
      <c r="N30">
        <f t="shared" si="6"/>
        <v>1.10344827586207</v>
      </c>
      <c r="O30">
        <f t="shared" si="7"/>
        <v>0.5</v>
      </c>
      <c r="Q30">
        <f t="shared" si="8"/>
        <v>0</v>
      </c>
      <c r="R30">
        <f t="shared" si="9"/>
        <v>0</v>
      </c>
    </row>
    <row r="31" spans="1:18">
      <c r="A31">
        <v>30</v>
      </c>
      <c r="B31">
        <v>55</v>
      </c>
      <c r="C31">
        <f t="shared" si="10"/>
        <v>1046</v>
      </c>
      <c r="D31">
        <f t="shared" si="0"/>
        <v>17.4333333333333</v>
      </c>
      <c r="E31">
        <f t="shared" si="11"/>
        <v>1046</v>
      </c>
      <c r="F31">
        <f t="shared" si="1"/>
        <v>1086</v>
      </c>
      <c r="G31">
        <f t="shared" si="2"/>
        <v>18.1</v>
      </c>
      <c r="H31">
        <v>40</v>
      </c>
      <c r="J31">
        <v>30</v>
      </c>
      <c r="K31">
        <f t="shared" si="3"/>
        <v>32</v>
      </c>
      <c r="L31">
        <f t="shared" si="4"/>
        <v>32</v>
      </c>
      <c r="M31">
        <f t="shared" si="5"/>
        <v>1.06666666666667</v>
      </c>
      <c r="N31">
        <f t="shared" si="6"/>
        <v>1.06666666666667</v>
      </c>
      <c r="O31">
        <f t="shared" si="7"/>
        <v>0.5</v>
      </c>
      <c r="Q31">
        <f t="shared" si="8"/>
        <v>0</v>
      </c>
      <c r="R31">
        <f t="shared" si="9"/>
        <v>0</v>
      </c>
    </row>
    <row r="32" spans="1:18">
      <c r="A32">
        <v>31</v>
      </c>
      <c r="B32">
        <v>40</v>
      </c>
      <c r="C32">
        <f t="shared" si="10"/>
        <v>1086</v>
      </c>
      <c r="D32">
        <f t="shared" si="0"/>
        <v>18.1</v>
      </c>
      <c r="E32">
        <f t="shared" si="11"/>
        <v>1086</v>
      </c>
      <c r="F32">
        <f t="shared" si="1"/>
        <v>1156</v>
      </c>
      <c r="G32">
        <f t="shared" si="2"/>
        <v>19.2666666666667</v>
      </c>
      <c r="H32">
        <v>70</v>
      </c>
      <c r="J32">
        <v>31</v>
      </c>
      <c r="K32">
        <f t="shared" si="3"/>
        <v>32</v>
      </c>
      <c r="L32">
        <f t="shared" si="4"/>
        <v>32</v>
      </c>
      <c r="M32">
        <f t="shared" si="5"/>
        <v>1.03225806451613</v>
      </c>
      <c r="O32" t="e">
        <f t="shared" si="7"/>
        <v>#DIV/0!</v>
      </c>
      <c r="Q32">
        <f t="shared" si="8"/>
        <v>0</v>
      </c>
      <c r="R32">
        <f t="shared" si="9"/>
        <v>0</v>
      </c>
    </row>
    <row r="33" spans="1:18">
      <c r="A33">
        <v>32</v>
      </c>
      <c r="B33">
        <v>50</v>
      </c>
      <c r="C33">
        <f t="shared" si="10"/>
        <v>1136</v>
      </c>
      <c r="D33">
        <f t="shared" si="0"/>
        <v>18.9333333333333</v>
      </c>
      <c r="E33">
        <f t="shared" si="11"/>
        <v>1136</v>
      </c>
      <c r="F33">
        <f t="shared" si="1"/>
        <v>1196</v>
      </c>
      <c r="G33">
        <f t="shared" si="2"/>
        <v>19.9333333333333</v>
      </c>
      <c r="H33">
        <v>60</v>
      </c>
      <c r="J33">
        <v>32</v>
      </c>
      <c r="K33">
        <f t="shared" si="3"/>
        <v>32</v>
      </c>
      <c r="L33">
        <f t="shared" si="4"/>
        <v>32</v>
      </c>
      <c r="M33">
        <f t="shared" si="5"/>
        <v>1</v>
      </c>
      <c r="O33" t="e">
        <f t="shared" si="7"/>
        <v>#DIV/0!</v>
      </c>
      <c r="Q33">
        <f t="shared" si="8"/>
        <v>0</v>
      </c>
      <c r="R33">
        <f t="shared" si="9"/>
        <v>0</v>
      </c>
    </row>
    <row r="36" ht="42" customHeight="1" spans="1:1">
      <c r="A36" t="s">
        <v>18</v>
      </c>
    </row>
    <row r="37" ht="129" customHeight="1" spans="1:1">
      <c r="A37" s="2" t="s">
        <v>19</v>
      </c>
    </row>
  </sheetData>
  <mergeCells count="1">
    <mergeCell ref="A37:R37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Evelina Hvazdouskaya</cp:lastModifiedBy>
  <dcterms:created xsi:type="dcterms:W3CDTF">2006-09-22T13:37:51Z</dcterms:created>
  <dcterms:modified xsi:type="dcterms:W3CDTF">2026-03-02T08:15:32Z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0589132C845648588363C6B2BE3D0610_13</vt:lpwstr>
  </property>
  <property fmtid="{D5CDD505-2E9C-101B-9397-08002B2CF9AE}" pid="3" name="KSOProductBuildVer">
    <vt:lpwstr>1049-12.2.0.23196</vt:lpwstr>
  </property>
</Properties>
</file>